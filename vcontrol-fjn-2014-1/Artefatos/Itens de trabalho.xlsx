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240" yWindow="150" windowWidth="20730" windowHeight="11760" activeTab="1"/>
  </bookViews>
  <sheets>
    <sheet name="Product Backlog" sheetId="1" r:id="rId1"/>
    <sheet name="Gestão" sheetId="2" r:id="rId2"/>
    <sheet name="Plan3" sheetId="3" r:id="rId3"/>
  </sheets>
  <calcPr calcId="145621"/>
  <fileRecoveryPr autoRecover="0"/>
</workbook>
</file>

<file path=xl/calcChain.xml><?xml version="1.0" encoding="utf-8"?>
<calcChain xmlns="http://schemas.openxmlformats.org/spreadsheetml/2006/main">
  <c r="N11" i="2" l="1"/>
  <c r="B14" i="2"/>
  <c r="D11" i="1"/>
  <c r="D16" i="1" l="1"/>
  <c r="D15" i="1"/>
  <c r="D14" i="1"/>
  <c r="D10" i="1"/>
  <c r="D9" i="1"/>
  <c r="D8" i="1"/>
  <c r="D7" i="1"/>
  <c r="D6" i="1"/>
  <c r="D5" i="1"/>
  <c r="D4" i="1"/>
  <c r="H6" i="2"/>
  <c r="N7" i="2" s="1"/>
  <c r="B5" i="2"/>
  <c r="N5" i="2" s="1"/>
  <c r="E6" i="2"/>
  <c r="N6" i="2" s="1"/>
  <c r="N9" i="2" l="1"/>
</calcChain>
</file>

<file path=xl/sharedStrings.xml><?xml version="1.0" encoding="utf-8"?>
<sst xmlns="http://schemas.openxmlformats.org/spreadsheetml/2006/main" count="39" uniqueCount="36">
  <si>
    <t>Product Backlog</t>
  </si>
  <si>
    <t>Itens</t>
  </si>
  <si>
    <t>Story Points</t>
  </si>
  <si>
    <t>Valor de Negócio</t>
  </si>
  <si>
    <t>ROI</t>
  </si>
  <si>
    <t>O usuario deve efetuar login(WEB)</t>
  </si>
  <si>
    <t>Mater (CRUD) o volume(WEB)</t>
  </si>
  <si>
    <t>Mater (CRUD) itens do volume(WEB)</t>
  </si>
  <si>
    <t>1, 2, 3, 5, 8, 13, 21, 34, 55</t>
  </si>
  <si>
    <t>Gestão</t>
  </si>
  <si>
    <t>Planning</t>
  </si>
  <si>
    <t>Review</t>
  </si>
  <si>
    <t>Retrospective</t>
  </si>
  <si>
    <t>Daily Meeting</t>
  </si>
  <si>
    <t>Capacidade</t>
  </si>
  <si>
    <t>Tamanho da Sprint</t>
  </si>
  <si>
    <t>Horas por dia</t>
  </si>
  <si>
    <t>Tamanho da Equipe</t>
  </si>
  <si>
    <t>Outros</t>
  </si>
  <si>
    <t>Setup</t>
  </si>
  <si>
    <t>Treinamento</t>
  </si>
  <si>
    <t>Coffee</t>
  </si>
  <si>
    <t>Refatoração</t>
  </si>
  <si>
    <t>Mater (CRUD) Usuarios (WEB)</t>
  </si>
  <si>
    <t>O usuario deve efetuar Login(Movel)</t>
  </si>
  <si>
    <t>Visualizar Itens do volume(WEB)</t>
  </si>
  <si>
    <t>Visualizar Itens do volume(Movel)</t>
  </si>
  <si>
    <t>Pesquisar o Volume pelo QR Code(WEB)</t>
  </si>
  <si>
    <t>Pesquisar o Volume pelo QR Code(Movel)</t>
  </si>
  <si>
    <t>Dispositivo Movel</t>
  </si>
  <si>
    <t>Plataforma WEB</t>
  </si>
  <si>
    <t>Criar a API Interoperavel</t>
  </si>
  <si>
    <t>Gerar etiquetas QR para Impressão</t>
  </si>
  <si>
    <t>Restam</t>
  </si>
  <si>
    <t>Story Point/Hora</t>
  </si>
  <si>
    <t>Story Point 1ª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</si>
</sst>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4"/>
      <color indexed="8"/>
      <name val="Calibri"/>
    </font>
    <font>
      <b/>
      <sz val="14"/>
      <color indexed="9"/>
      <name val="Calibri"/>
      <family val="2"/>
    </font>
    <font>
      <b/>
      <sz val="14"/>
      <color indexed="56"/>
      <name val="Calibri"/>
    </font>
    <font>
      <sz val="14"/>
      <color indexed="9"/>
      <name val="Calibri"/>
    </font>
    <font>
      <b/>
      <sz val="14"/>
      <color indexed="10"/>
      <name val="Calibri"/>
      <family val="2"/>
    </font>
    <font>
      <b/>
      <sz val="14"/>
      <color indexed="17"/>
      <name val="Calibri"/>
      <family val="2"/>
    </font>
    <font>
      <u/>
      <sz val="11"/>
      <color indexed="8"/>
      <name val="Calibri"/>
      <family val="2"/>
    </font>
    <font>
      <sz val="14"/>
      <color indexed="9"/>
      <name val="Calibri"/>
      <family val="2"/>
    </font>
    <font>
      <sz val="14"/>
      <color indexed="17"/>
      <name val="Calibri"/>
      <family val="2"/>
    </font>
    <font>
      <sz val="14"/>
      <color indexed="10"/>
      <name val="Calibri"/>
      <family val="2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30">
    <xf numFmtId="0" fontId="0" fillId="0" borderId="0" xfId="0"/>
    <xf numFmtId="0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11" fillId="0" borderId="0" xfId="2"/>
    <xf numFmtId="0" fontId="1" fillId="0" borderId="0" xfId="2" applyFont="1"/>
    <xf numFmtId="0" fontId="11" fillId="0" borderId="0" xfId="3"/>
    <xf numFmtId="0" fontId="4" fillId="2" borderId="0" xfId="3" applyFont="1" applyFill="1" applyAlignment="1">
      <alignment horizontal="center" vertical="center"/>
    </xf>
    <xf numFmtId="0" fontId="1" fillId="0" borderId="0" xfId="3" applyFont="1" applyFill="1"/>
    <xf numFmtId="0" fontId="11" fillId="0" borderId="0" xfId="4"/>
    <xf numFmtId="0" fontId="1" fillId="0" borderId="0" xfId="4" applyFont="1"/>
    <xf numFmtId="0" fontId="5" fillId="0" borderId="0" xfId="2" applyFont="1"/>
    <xf numFmtId="0" fontId="5" fillId="0" borderId="0" xfId="4" applyFont="1"/>
    <xf numFmtId="0" fontId="6" fillId="0" borderId="0" xfId="3" applyFont="1"/>
    <xf numFmtId="0" fontId="7" fillId="0" borderId="0" xfId="0" applyFont="1"/>
    <xf numFmtId="0" fontId="9" fillId="0" borderId="0" xfId="0" applyFont="1"/>
    <xf numFmtId="0" fontId="10" fillId="0" borderId="0" xfId="0" applyFont="1"/>
    <xf numFmtId="0" fontId="5" fillId="3" borderId="0" xfId="1" applyFont="1" applyFill="1" applyAlignment="1">
      <alignment horizontal="center"/>
    </xf>
    <xf numFmtId="0" fontId="3" fillId="0" borderId="0" xfId="1" applyFont="1" applyAlignment="1">
      <alignment horizontal="center"/>
    </xf>
    <xf numFmtId="0" fontId="8" fillId="2" borderId="0" xfId="4" applyFont="1" applyFill="1" applyAlignment="1">
      <alignment horizontal="center"/>
    </xf>
    <xf numFmtId="0" fontId="4" fillId="2" borderId="0" xfId="4" applyFont="1" applyFill="1" applyAlignment="1">
      <alignment horizontal="center"/>
    </xf>
    <xf numFmtId="0" fontId="4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0" fontId="4" fillId="2" borderId="0" xfId="3" applyFont="1" applyFill="1" applyAlignment="1">
      <alignment horizontal="center" vertical="center"/>
    </xf>
    <xf numFmtId="0" fontId="12" fillId="0" borderId="0" xfId="0" applyFont="1"/>
    <xf numFmtId="0" fontId="0" fillId="4" borderId="0" xfId="0" applyFill="1" applyAlignment="1">
      <alignment horizontal="center"/>
    </xf>
    <xf numFmtId="0" fontId="0" fillId="4" borderId="0" xfId="0" applyFill="1"/>
    <xf numFmtId="0" fontId="11" fillId="4" borderId="0" xfId="1" applyFill="1" applyAlignment="1">
      <alignment horizontal="center"/>
    </xf>
    <xf numFmtId="0" fontId="0" fillId="4" borderId="0" xfId="0" applyFont="1" applyFill="1"/>
    <xf numFmtId="0" fontId="13" fillId="0" borderId="0" xfId="0" applyFont="1"/>
    <xf numFmtId="0" fontId="14" fillId="0" borderId="0" xfId="2" applyFont="1"/>
  </cellXfs>
  <cellStyles count="5">
    <cellStyle name="Normal" xfId="0" builtinId="0"/>
    <cellStyle name="Normal 2" xfId="1"/>
    <cellStyle name="Normal 4" xfId="2"/>
    <cellStyle name="Normal 5" xfId="3"/>
    <cellStyle name="Normal 7" xfId="4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workbookViewId="0">
      <selection activeCell="A18" sqref="A18"/>
    </sheetView>
  </sheetViews>
  <sheetFormatPr defaultRowHeight="15" x14ac:dyDescent="0.25"/>
  <cols>
    <col min="1" max="1" width="37.5703125" bestFit="1" customWidth="1"/>
    <col min="2" max="2" width="15.140625" bestFit="1" customWidth="1"/>
    <col min="3" max="3" width="20.85546875" bestFit="1" customWidth="1"/>
    <col min="4" max="4" width="7.7109375" bestFit="1" customWidth="1"/>
    <col min="10" max="10" width="16.42578125" bestFit="1" customWidth="1"/>
    <col min="13" max="13" width="23.28515625" bestFit="1" customWidth="1"/>
    <col min="16" max="16" width="15.42578125" bestFit="1" customWidth="1"/>
    <col min="17" max="17" width="8.85546875" customWidth="1"/>
  </cols>
  <sheetData>
    <row r="1" spans="1:4" ht="18.75" x14ac:dyDescent="0.3">
      <c r="A1" s="17" t="s">
        <v>0</v>
      </c>
      <c r="B1" s="17"/>
      <c r="C1" s="17"/>
      <c r="D1" s="17"/>
    </row>
    <row r="2" spans="1:4" ht="18.75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8.75" x14ac:dyDescent="0.3">
      <c r="A3" s="16" t="s">
        <v>30</v>
      </c>
      <c r="B3" s="16"/>
      <c r="C3" s="16"/>
      <c r="D3" s="16"/>
    </row>
    <row r="4" spans="1:4" x14ac:dyDescent="0.25">
      <c r="A4" s="24" t="s">
        <v>23</v>
      </c>
      <c r="B4" s="25">
        <v>3</v>
      </c>
      <c r="C4" s="25">
        <v>250</v>
      </c>
      <c r="D4" s="25">
        <f t="shared" ref="D4:D11" si="0">C4/B4</f>
        <v>83.333333333333329</v>
      </c>
    </row>
    <row r="5" spans="1:4" ht="15.75" x14ac:dyDescent="0.25">
      <c r="A5" s="26" t="s">
        <v>5</v>
      </c>
      <c r="B5" s="25">
        <v>2</v>
      </c>
      <c r="C5" s="25">
        <v>300</v>
      </c>
      <c r="D5" s="25">
        <f t="shared" si="0"/>
        <v>150</v>
      </c>
    </row>
    <row r="6" spans="1:4" x14ac:dyDescent="0.25">
      <c r="A6" s="24" t="s">
        <v>6</v>
      </c>
      <c r="B6" s="25">
        <v>8</v>
      </c>
      <c r="C6" s="25">
        <v>900</v>
      </c>
      <c r="D6" s="25">
        <f t="shared" si="0"/>
        <v>112.5</v>
      </c>
    </row>
    <row r="7" spans="1:4" x14ac:dyDescent="0.25">
      <c r="A7" s="24" t="s">
        <v>7</v>
      </c>
      <c r="B7" s="25">
        <v>13</v>
      </c>
      <c r="C7" s="25">
        <v>900</v>
      </c>
      <c r="D7" s="25">
        <f t="shared" si="0"/>
        <v>69.230769230769226</v>
      </c>
    </row>
    <row r="8" spans="1:4" x14ac:dyDescent="0.25">
      <c r="A8" t="s">
        <v>27</v>
      </c>
      <c r="B8">
        <v>21</v>
      </c>
      <c r="C8">
        <v>100</v>
      </c>
      <c r="D8">
        <f t="shared" si="0"/>
        <v>4.7619047619047619</v>
      </c>
    </row>
    <row r="9" spans="1:4" x14ac:dyDescent="0.25">
      <c r="A9" s="2" t="s">
        <v>25</v>
      </c>
      <c r="B9">
        <v>5</v>
      </c>
      <c r="C9">
        <v>300</v>
      </c>
      <c r="D9">
        <f t="shared" si="0"/>
        <v>60</v>
      </c>
    </row>
    <row r="10" spans="1:4" x14ac:dyDescent="0.25">
      <c r="A10" s="2" t="s">
        <v>31</v>
      </c>
      <c r="B10">
        <v>34</v>
      </c>
      <c r="C10">
        <v>800</v>
      </c>
      <c r="D10">
        <f t="shared" si="0"/>
        <v>23.529411764705884</v>
      </c>
    </row>
    <row r="11" spans="1:4" x14ac:dyDescent="0.25">
      <c r="A11" s="2" t="s">
        <v>32</v>
      </c>
      <c r="B11">
        <v>13</v>
      </c>
      <c r="C11">
        <v>800</v>
      </c>
      <c r="D11">
        <f t="shared" si="0"/>
        <v>61.53846153846154</v>
      </c>
    </row>
    <row r="13" spans="1:4" ht="18.75" x14ac:dyDescent="0.3">
      <c r="A13" s="16" t="s">
        <v>29</v>
      </c>
      <c r="B13" s="16"/>
      <c r="C13" s="16"/>
      <c r="D13" s="16"/>
    </row>
    <row r="14" spans="1:4" x14ac:dyDescent="0.25">
      <c r="A14" s="2" t="s">
        <v>24</v>
      </c>
      <c r="B14">
        <v>5</v>
      </c>
      <c r="C14">
        <v>300</v>
      </c>
      <c r="D14">
        <f>C14/B14</f>
        <v>60</v>
      </c>
    </row>
    <row r="15" spans="1:4" x14ac:dyDescent="0.25">
      <c r="A15" s="25" t="s">
        <v>28</v>
      </c>
      <c r="B15" s="25">
        <v>21</v>
      </c>
      <c r="C15" s="27">
        <v>1000</v>
      </c>
      <c r="D15" s="25">
        <f>C15/B15</f>
        <v>47.61904761904762</v>
      </c>
    </row>
    <row r="16" spans="1:4" x14ac:dyDescent="0.25">
      <c r="A16" s="2" t="s">
        <v>26</v>
      </c>
      <c r="B16">
        <v>21</v>
      </c>
      <c r="C16">
        <v>900</v>
      </c>
      <c r="D16">
        <f>C16/B16</f>
        <v>42.857142857142854</v>
      </c>
    </row>
    <row r="29" spans="17:17" x14ac:dyDescent="0.25">
      <c r="Q29" t="s">
        <v>8</v>
      </c>
    </row>
  </sheetData>
  <mergeCells count="3">
    <mergeCell ref="A13:D13"/>
    <mergeCell ref="A3:D3"/>
    <mergeCell ref="A1:D1"/>
  </mergeCells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"/>
  <sheetViews>
    <sheetView tabSelected="1" workbookViewId="0">
      <selection activeCell="I13" sqref="I11:M13"/>
    </sheetView>
  </sheetViews>
  <sheetFormatPr defaultRowHeight="15" x14ac:dyDescent="0.25"/>
  <cols>
    <col min="1" max="1" width="23.28515625" bestFit="1" customWidth="1"/>
    <col min="4" max="4" width="23.28515625" bestFit="1" customWidth="1"/>
    <col min="7" max="7" width="15.42578125" bestFit="1" customWidth="1"/>
    <col min="12" max="12" width="14" bestFit="1" customWidth="1"/>
  </cols>
  <sheetData>
    <row r="1" spans="1:16" ht="18.75" x14ac:dyDescent="0.3">
      <c r="A1" s="6" t="s">
        <v>14</v>
      </c>
      <c r="B1" s="6"/>
      <c r="D1" s="20" t="s">
        <v>9</v>
      </c>
      <c r="E1" s="20"/>
      <c r="G1" s="19" t="s">
        <v>18</v>
      </c>
      <c r="H1" s="19"/>
      <c r="P1" s="23"/>
    </row>
    <row r="2" spans="1:16" ht="18.75" x14ac:dyDescent="0.3">
      <c r="A2" s="7" t="s">
        <v>15</v>
      </c>
      <c r="B2" s="7">
        <v>20</v>
      </c>
      <c r="D2" s="4" t="s">
        <v>10</v>
      </c>
      <c r="E2" s="4">
        <v>9.6</v>
      </c>
      <c r="G2" s="9" t="s">
        <v>19</v>
      </c>
      <c r="H2" s="9">
        <v>4.8</v>
      </c>
    </row>
    <row r="3" spans="1:16" ht="18.75" x14ac:dyDescent="0.3">
      <c r="A3" s="7" t="s">
        <v>16</v>
      </c>
      <c r="B3" s="7">
        <v>1</v>
      </c>
      <c r="D3" s="4" t="s">
        <v>11</v>
      </c>
      <c r="E3" s="4">
        <v>4.8</v>
      </c>
      <c r="G3" s="9" t="s">
        <v>20</v>
      </c>
      <c r="H3" s="9">
        <v>4.8</v>
      </c>
    </row>
    <row r="4" spans="1:16" ht="18.75" x14ac:dyDescent="0.3">
      <c r="A4" s="7" t="s">
        <v>17</v>
      </c>
      <c r="B4" s="7">
        <v>5</v>
      </c>
      <c r="D4" s="4" t="s">
        <v>12</v>
      </c>
      <c r="E4" s="4">
        <v>4.8</v>
      </c>
      <c r="G4" s="9" t="s">
        <v>21</v>
      </c>
      <c r="H4" s="9">
        <v>8</v>
      </c>
    </row>
    <row r="5" spans="1:16" ht="18.75" x14ac:dyDescent="0.3">
      <c r="A5" s="5"/>
      <c r="B5" s="12">
        <f>B2*B3*B4</f>
        <v>100</v>
      </c>
      <c r="D5" s="29" t="s">
        <v>13</v>
      </c>
      <c r="E5" s="4">
        <v>12</v>
      </c>
      <c r="G5" s="9" t="s">
        <v>22</v>
      </c>
      <c r="H5" s="9">
        <v>4.8</v>
      </c>
      <c r="L5" s="22" t="s">
        <v>14</v>
      </c>
      <c r="M5" s="22"/>
      <c r="N5" s="14">
        <f>B5</f>
        <v>100</v>
      </c>
    </row>
    <row r="6" spans="1:16" ht="18.75" x14ac:dyDescent="0.3">
      <c r="D6" s="3"/>
      <c r="E6" s="10">
        <f>E2+E3+E4+E5</f>
        <v>31.2</v>
      </c>
      <c r="G6" s="8"/>
      <c r="H6" s="11">
        <f>H2+H3+H4+H5</f>
        <v>22.400000000000002</v>
      </c>
      <c r="L6" s="21" t="s">
        <v>9</v>
      </c>
      <c r="M6" s="20"/>
      <c r="N6" s="15">
        <f>E6</f>
        <v>31.2</v>
      </c>
    </row>
    <row r="7" spans="1:16" ht="18.75" x14ac:dyDescent="0.3">
      <c r="L7" s="19" t="s">
        <v>18</v>
      </c>
      <c r="M7" s="19"/>
      <c r="N7" s="15">
        <f>H6</f>
        <v>22.400000000000002</v>
      </c>
    </row>
    <row r="8" spans="1:16" ht="18.75" x14ac:dyDescent="0.3">
      <c r="A8" s="18" t="s">
        <v>35</v>
      </c>
      <c r="B8" s="19"/>
    </row>
    <row r="9" spans="1:16" ht="18.75" x14ac:dyDescent="0.3">
      <c r="B9">
        <v>3</v>
      </c>
      <c r="L9" s="18" t="s">
        <v>33</v>
      </c>
      <c r="M9" s="19"/>
      <c r="N9" s="14">
        <f>N5-N6-N7</f>
        <v>46.399999999999991</v>
      </c>
    </row>
    <row r="10" spans="1:16" x14ac:dyDescent="0.25">
      <c r="B10">
        <v>2</v>
      </c>
    </row>
    <row r="11" spans="1:16" ht="18.75" x14ac:dyDescent="0.3">
      <c r="B11">
        <v>8</v>
      </c>
      <c r="L11" s="18" t="s">
        <v>34</v>
      </c>
      <c r="M11" s="19"/>
      <c r="N11" s="28">
        <f>(B14/B2)</f>
        <v>2.2999999999999998</v>
      </c>
    </row>
    <row r="12" spans="1:16" x14ac:dyDescent="0.25">
      <c r="B12">
        <v>12</v>
      </c>
    </row>
    <row r="13" spans="1:16" x14ac:dyDescent="0.25">
      <c r="B13">
        <v>21</v>
      </c>
      <c r="C13" s="13"/>
    </row>
    <row r="14" spans="1:16" x14ac:dyDescent="0.25">
      <c r="A14" s="25"/>
      <c r="B14" s="25">
        <f>SUM(B9:B13)</f>
        <v>46</v>
      </c>
    </row>
    <row r="23" spans="7:7" x14ac:dyDescent="0.25">
      <c r="G23" s="13"/>
    </row>
  </sheetData>
  <mergeCells count="8">
    <mergeCell ref="L11:M11"/>
    <mergeCell ref="A8:B8"/>
    <mergeCell ref="L9:M9"/>
    <mergeCell ref="D1:E1"/>
    <mergeCell ref="G1:H1"/>
    <mergeCell ref="L6:M6"/>
    <mergeCell ref="L7:M7"/>
    <mergeCell ref="L5:M5"/>
  </mergeCells>
  <phoneticPr fontId="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 Backlog</vt:lpstr>
      <vt:lpstr>Gestão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</dc:creator>
  <cp:lastModifiedBy>inaldo</cp:lastModifiedBy>
  <dcterms:created xsi:type="dcterms:W3CDTF">2013-12-04T13:03:51Z</dcterms:created>
  <dcterms:modified xsi:type="dcterms:W3CDTF">2014-03-17T22:45:29Z</dcterms:modified>
</cp:coreProperties>
</file>